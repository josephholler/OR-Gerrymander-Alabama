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josephholler\OR-Gerrymander-Alabama\data\derived\public\LA2024\"/>
    </mc:Choice>
  </mc:AlternateContent>
  <xr:revisionPtr revIDLastSave="0" documentId="13_ncr:1_{706437C8-78F1-4215-9B8B-DFB9DFD636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trict_results_l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/>
  <c r="J20" i="1"/>
  <c r="I20" i="1"/>
  <c r="O20" i="1"/>
  <c r="R20" i="1"/>
  <c r="Q20" i="1"/>
  <c r="P20" i="1"/>
  <c r="F20" i="1"/>
  <c r="L20" i="1"/>
  <c r="L59" i="1"/>
  <c r="K32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L36" i="1" s="1"/>
  <c r="G35" i="1"/>
  <c r="F35" i="1"/>
  <c r="E35" i="1"/>
  <c r="L35" i="1" s="1"/>
  <c r="G34" i="1"/>
  <c r="F34" i="1"/>
  <c r="E34" i="1"/>
  <c r="L34" i="1" s="1"/>
  <c r="G33" i="1"/>
  <c r="F33" i="1"/>
  <c r="E33" i="1"/>
  <c r="G32" i="1"/>
  <c r="F32" i="1"/>
  <c r="E32" i="1"/>
  <c r="L32" i="1" s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L33" i="1" l="1"/>
  <c r="L37" i="1"/>
  <c r="K33" i="1"/>
  <c r="K34" i="1"/>
  <c r="K35" i="1"/>
  <c r="K36" i="1"/>
  <c r="K37" i="1"/>
</calcChain>
</file>

<file path=xl/sharedStrings.xml><?xml version="1.0" encoding="utf-8"?>
<sst xmlns="http://schemas.openxmlformats.org/spreadsheetml/2006/main" count="157" uniqueCount="63">
  <si>
    <t>pctMinoritybg</t>
  </si>
  <si>
    <t>pctMP</t>
  </si>
  <si>
    <t>chPct</t>
  </si>
  <si>
    <t>chDiff</t>
  </si>
  <si>
    <t>chAbsDiff</t>
  </si>
  <si>
    <t>mbcPct</t>
  </si>
  <si>
    <t>mbcDiff</t>
  </si>
  <si>
    <t>mbcAbsDiff</t>
  </si>
  <si>
    <t>chPctV</t>
  </si>
  <si>
    <t>chDiffV</t>
  </si>
  <si>
    <t>chAbsDiffV</t>
  </si>
  <si>
    <t>mbcPctV</t>
  </si>
  <si>
    <t>mbcDiffV</t>
  </si>
  <si>
    <t>mbcAbsDiffV</t>
  </si>
  <si>
    <t>compact_shp</t>
  </si>
  <si>
    <t>compact_hull</t>
  </si>
  <si>
    <t>compact_circ</t>
  </si>
  <si>
    <t>chArea</t>
  </si>
  <si>
    <t>CLIPPED</t>
  </si>
  <si>
    <t>ORIGINAL</t>
  </si>
  <si>
    <t>DIFFERENCE</t>
  </si>
  <si>
    <t>District</t>
  </si>
  <si>
    <t>Coastal: Large differences in compactness, almost no difference in my metrics</t>
  </si>
  <si>
    <t>Coastal: Some differences in compactness, almost none in my metrics</t>
  </si>
  <si>
    <t>River: Compact shape penalized compared to convex hull and minimum bounding circle; LEAST gerrymandering (with dist 3) by my metric: a more compact shape only changes composition by 5 to 7 percent</t>
  </si>
  <si>
    <t>Compactness</t>
  </si>
  <si>
    <t>Polsby-Popper</t>
  </si>
  <si>
    <t>Convex Hull</t>
  </si>
  <si>
    <t>1'</t>
  </si>
  <si>
    <t>3'</t>
  </si>
  <si>
    <t>Difference</t>
  </si>
  <si>
    <t>MBC</t>
  </si>
  <si>
    <t>fid</t>
  </si>
  <si>
    <t>OBJECTID</t>
  </si>
  <si>
    <t>DISTRICT</t>
  </si>
  <si>
    <t>NAME</t>
  </si>
  <si>
    <t>NUM_MEMBER</t>
  </si>
  <si>
    <t>IDEAL_POP</t>
  </si>
  <si>
    <t>IS_LOCKED</t>
  </si>
  <si>
    <t>SHAPE_AREA</t>
  </si>
  <si>
    <t>SHAPE_LEN</t>
  </si>
  <si>
    <t>bgTotal</t>
  </si>
  <si>
    <t>bgMinority</t>
  </si>
  <si>
    <t>totV</t>
  </si>
  <si>
    <t>mpV</t>
  </si>
  <si>
    <t>chTotal</t>
  </si>
  <si>
    <t>chMinority</t>
  </si>
  <si>
    <t>mbcArea</t>
  </si>
  <si>
    <t>mbcTotal</t>
  </si>
  <si>
    <t>mbcMinority</t>
  </si>
  <si>
    <t>chtotV</t>
  </si>
  <si>
    <t>chmpV</t>
  </si>
  <si>
    <t>mbctotV</t>
  </si>
  <si>
    <t>mbcmpV</t>
  </si>
  <si>
    <t>darea</t>
  </si>
  <si>
    <t>dperim</t>
  </si>
  <si>
    <t>compact_all</t>
  </si>
  <si>
    <t>District 2</t>
  </si>
  <si>
    <t>District 3</t>
  </si>
  <si>
    <t>District 4</t>
  </si>
  <si>
    <t>District 5</t>
  </si>
  <si>
    <t>District 6</t>
  </si>
  <si>
    <t>District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</si>
</sst>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9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zoomScale="120" zoomScaleNormal="120" workbookViewId="0">
      <pane xSplit="1" topLeftCell="D1" activePane="topRight" state="frozen"/>
      <selection activeCell="A7" sqref="A7"/>
      <selection pane="topRight" activeCell="O22" sqref="O22"/>
    </sheetView>
  </sheetViews>
  <sheetFormatPr defaultRowHeight="12.75" x14ac:dyDescent="0.2"/>
  <cols>
    <col min="2" max="1025" width="15"/>
  </cols>
  <sheetData>
    <row r="1" spans="1:19" x14ac:dyDescent="0.2">
      <c r="B1" t="s">
        <v>19</v>
      </c>
      <c r="Q1" t="s">
        <v>25</v>
      </c>
    </row>
    <row r="2" spans="1:19" x14ac:dyDescent="0.2">
      <c r="A2" t="s">
        <v>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">
      <c r="A3" s="1">
        <v>1</v>
      </c>
      <c r="B3">
        <v>13.4</v>
      </c>
      <c r="C3">
        <v>30.6</v>
      </c>
      <c r="D3">
        <v>30.6</v>
      </c>
      <c r="E3">
        <v>-17.2</v>
      </c>
      <c r="F3">
        <v>17.2</v>
      </c>
      <c r="G3">
        <v>30.2</v>
      </c>
      <c r="H3">
        <v>-16.8</v>
      </c>
      <c r="I3">
        <v>16.8</v>
      </c>
      <c r="J3">
        <v>45.5</v>
      </c>
      <c r="K3">
        <v>-14.9</v>
      </c>
      <c r="L3">
        <v>14.9</v>
      </c>
      <c r="M3">
        <v>44</v>
      </c>
      <c r="N3">
        <v>-13.4</v>
      </c>
      <c r="O3">
        <v>13.4</v>
      </c>
      <c r="P3">
        <v>0.16</v>
      </c>
      <c r="Q3">
        <v>0.7</v>
      </c>
      <c r="R3">
        <v>0.49</v>
      </c>
      <c r="S3" t="s">
        <v>22</v>
      </c>
    </row>
    <row r="4" spans="1:19" x14ac:dyDescent="0.2">
      <c r="A4" s="1" t="s">
        <v>28</v>
      </c>
      <c r="B4">
        <v>13.4</v>
      </c>
      <c r="C4">
        <v>30.6</v>
      </c>
      <c r="D4">
        <v>30.7</v>
      </c>
      <c r="E4">
        <v>-17.3</v>
      </c>
      <c r="F4">
        <v>17.3</v>
      </c>
      <c r="G4">
        <v>30.2</v>
      </c>
      <c r="H4">
        <v>-16.8</v>
      </c>
      <c r="I4">
        <v>16.8</v>
      </c>
      <c r="J4">
        <v>45.7</v>
      </c>
      <c r="K4">
        <v>-15.1</v>
      </c>
      <c r="L4">
        <v>15.1</v>
      </c>
      <c r="M4">
        <v>43.9</v>
      </c>
      <c r="N4">
        <v>-13.3</v>
      </c>
      <c r="O4">
        <v>13.3</v>
      </c>
      <c r="P4">
        <v>0.04</v>
      </c>
      <c r="Q4">
        <v>0.47</v>
      </c>
      <c r="R4">
        <v>0.32</v>
      </c>
    </row>
    <row r="5" spans="1:19" x14ac:dyDescent="0.2">
      <c r="A5" s="1">
        <v>2</v>
      </c>
      <c r="B5">
        <v>50.6</v>
      </c>
      <c r="C5">
        <v>66</v>
      </c>
      <c r="D5">
        <v>34.5</v>
      </c>
      <c r="E5">
        <v>16.100000000000001</v>
      </c>
      <c r="F5">
        <v>16.100000000000001</v>
      </c>
      <c r="G5">
        <v>32.700000000000003</v>
      </c>
      <c r="H5">
        <v>17.899999999999999</v>
      </c>
      <c r="I5">
        <v>17.899999999999999</v>
      </c>
      <c r="J5">
        <v>51</v>
      </c>
      <c r="K5">
        <v>15</v>
      </c>
      <c r="L5">
        <v>15</v>
      </c>
      <c r="M5">
        <v>44.9</v>
      </c>
      <c r="N5">
        <v>21.1</v>
      </c>
      <c r="O5">
        <v>21.1</v>
      </c>
      <c r="P5">
        <v>0.11</v>
      </c>
      <c r="Q5">
        <v>0.56999999999999995</v>
      </c>
      <c r="R5">
        <v>0.2</v>
      </c>
    </row>
    <row r="6" spans="1:19" x14ac:dyDescent="0.2">
      <c r="A6" s="1">
        <v>3</v>
      </c>
      <c r="B6">
        <v>22.7</v>
      </c>
      <c r="C6">
        <v>27.2</v>
      </c>
      <c r="D6">
        <v>24.7</v>
      </c>
      <c r="E6">
        <v>-2</v>
      </c>
      <c r="F6">
        <v>2</v>
      </c>
      <c r="G6">
        <v>29.2</v>
      </c>
      <c r="H6">
        <v>-6.5</v>
      </c>
      <c r="I6">
        <v>6.5</v>
      </c>
      <c r="J6">
        <v>29.2</v>
      </c>
      <c r="K6">
        <v>-2</v>
      </c>
      <c r="L6">
        <v>2</v>
      </c>
      <c r="M6">
        <v>35</v>
      </c>
      <c r="N6">
        <v>-7.8000000000000007</v>
      </c>
      <c r="O6">
        <v>7.8000000000000007</v>
      </c>
      <c r="P6">
        <v>0.19</v>
      </c>
      <c r="Q6">
        <v>0.71</v>
      </c>
      <c r="R6">
        <v>0.25</v>
      </c>
      <c r="S6" t="s">
        <v>23</v>
      </c>
    </row>
    <row r="7" spans="1:19" x14ac:dyDescent="0.2">
      <c r="A7" s="1" t="s">
        <v>29</v>
      </c>
      <c r="B7">
        <v>22.7</v>
      </c>
      <c r="C7">
        <v>27.2</v>
      </c>
      <c r="D7">
        <v>24.7</v>
      </c>
      <c r="E7">
        <v>-2</v>
      </c>
      <c r="F7">
        <v>2</v>
      </c>
      <c r="G7">
        <v>29.4</v>
      </c>
      <c r="H7">
        <v>-6.6999999999999993</v>
      </c>
      <c r="I7">
        <v>6.6999999999999993</v>
      </c>
      <c r="J7">
        <v>29.2</v>
      </c>
      <c r="K7">
        <v>-2</v>
      </c>
      <c r="L7">
        <v>2</v>
      </c>
      <c r="M7">
        <v>35.1</v>
      </c>
      <c r="N7">
        <v>-7.9000000000000021</v>
      </c>
      <c r="O7">
        <v>7.9000000000000021</v>
      </c>
      <c r="P7">
        <v>0.09</v>
      </c>
      <c r="Q7">
        <v>0.62</v>
      </c>
      <c r="R7">
        <v>0.21</v>
      </c>
    </row>
    <row r="8" spans="1:19" x14ac:dyDescent="0.2">
      <c r="A8" s="1">
        <v>4</v>
      </c>
      <c r="B8">
        <v>20.8</v>
      </c>
      <c r="C8">
        <v>23.5</v>
      </c>
      <c r="D8">
        <v>31.1</v>
      </c>
      <c r="E8">
        <v>-10.3</v>
      </c>
      <c r="F8">
        <v>10.3</v>
      </c>
      <c r="G8">
        <v>31</v>
      </c>
      <c r="H8">
        <v>-10.199999999999999</v>
      </c>
      <c r="I8">
        <v>10.199999999999999</v>
      </c>
      <c r="J8">
        <v>32.700000000000003</v>
      </c>
      <c r="K8">
        <v>-9.2000000000000028</v>
      </c>
      <c r="L8">
        <v>9.2000000000000028</v>
      </c>
      <c r="M8">
        <v>32.1</v>
      </c>
      <c r="N8">
        <v>-8.6000000000000014</v>
      </c>
      <c r="O8">
        <v>8.6000000000000014</v>
      </c>
      <c r="P8">
        <v>0.08</v>
      </c>
      <c r="Q8">
        <v>0.71</v>
      </c>
      <c r="R8">
        <v>0.41</v>
      </c>
    </row>
    <row r="9" spans="1:19" x14ac:dyDescent="0.2">
      <c r="A9" s="1">
        <v>5</v>
      </c>
      <c r="B9">
        <v>27.2</v>
      </c>
      <c r="C9">
        <v>31.5</v>
      </c>
      <c r="D9">
        <v>33.1</v>
      </c>
      <c r="E9">
        <v>-5.9000000000000021</v>
      </c>
      <c r="F9">
        <v>5.9000000000000021</v>
      </c>
      <c r="G9">
        <v>32.1</v>
      </c>
      <c r="H9">
        <v>-4.9000000000000021</v>
      </c>
      <c r="I9">
        <v>4.9000000000000021</v>
      </c>
      <c r="J9">
        <v>37.9</v>
      </c>
      <c r="K9">
        <v>-6.3999999999999986</v>
      </c>
      <c r="L9">
        <v>6.3999999999999986</v>
      </c>
      <c r="M9">
        <v>36.799999999999997</v>
      </c>
      <c r="N9">
        <v>-5.2999999999999972</v>
      </c>
      <c r="O9">
        <v>5.2999999999999972</v>
      </c>
      <c r="P9">
        <v>0.08</v>
      </c>
      <c r="Q9">
        <v>0.54</v>
      </c>
      <c r="R9">
        <v>0.32</v>
      </c>
      <c r="S9" t="s">
        <v>24</v>
      </c>
    </row>
    <row r="10" spans="1:19" x14ac:dyDescent="0.2">
      <c r="A10" s="1">
        <v>6</v>
      </c>
      <c r="B10">
        <v>53.3</v>
      </c>
      <c r="C10">
        <v>57.6</v>
      </c>
      <c r="D10">
        <v>40.700000000000003</v>
      </c>
      <c r="E10">
        <v>12.599999999999991</v>
      </c>
      <c r="F10">
        <v>12.599999999999991</v>
      </c>
      <c r="G10">
        <v>32.5</v>
      </c>
      <c r="H10">
        <v>20.8</v>
      </c>
      <c r="I10">
        <v>20.8</v>
      </c>
      <c r="J10">
        <v>46</v>
      </c>
      <c r="K10">
        <v>11.6</v>
      </c>
      <c r="L10">
        <v>11.6</v>
      </c>
      <c r="M10">
        <v>36.299999999999997</v>
      </c>
      <c r="N10">
        <v>21.3</v>
      </c>
      <c r="O10">
        <v>21.3</v>
      </c>
      <c r="P10">
        <v>0.05</v>
      </c>
      <c r="Q10">
        <v>0.43</v>
      </c>
      <c r="R10">
        <v>0.12</v>
      </c>
    </row>
    <row r="12" spans="1:19" x14ac:dyDescent="0.2">
      <c r="B12" t="s">
        <v>18</v>
      </c>
    </row>
    <row r="13" spans="1:19" x14ac:dyDescent="0.2">
      <c r="A13" t="s">
        <v>21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  <c r="N13" t="s">
        <v>12</v>
      </c>
      <c r="O13" t="s">
        <v>13</v>
      </c>
      <c r="P13" t="s">
        <v>14</v>
      </c>
      <c r="Q13" t="s">
        <v>15</v>
      </c>
      <c r="R13" t="s">
        <v>16</v>
      </c>
    </row>
    <row r="14" spans="1:19" x14ac:dyDescent="0.2">
      <c r="A14" t="s">
        <v>28</v>
      </c>
      <c r="B14">
        <v>13.4</v>
      </c>
      <c r="C14">
        <v>30.6</v>
      </c>
      <c r="D14">
        <v>30.7</v>
      </c>
      <c r="E14">
        <v>-17.3</v>
      </c>
      <c r="F14">
        <v>17.3</v>
      </c>
      <c r="G14">
        <v>30.2</v>
      </c>
      <c r="H14">
        <v>-16.8</v>
      </c>
      <c r="I14">
        <v>16.8</v>
      </c>
      <c r="J14">
        <v>45.7</v>
      </c>
      <c r="K14">
        <v>-15.1</v>
      </c>
      <c r="L14">
        <v>15.1</v>
      </c>
      <c r="M14">
        <v>43.9</v>
      </c>
      <c r="N14">
        <v>-13.3</v>
      </c>
      <c r="O14">
        <v>13.3</v>
      </c>
      <c r="P14">
        <v>0.04</v>
      </c>
      <c r="Q14">
        <v>0.47</v>
      </c>
      <c r="R14">
        <v>0.32</v>
      </c>
    </row>
    <row r="15" spans="1:19" x14ac:dyDescent="0.2">
      <c r="A15">
        <v>2</v>
      </c>
      <c r="B15">
        <v>50.6</v>
      </c>
      <c r="C15">
        <v>66</v>
      </c>
      <c r="D15">
        <v>34.5</v>
      </c>
      <c r="E15">
        <v>16.100000000000001</v>
      </c>
      <c r="F15">
        <v>16.100000000000001</v>
      </c>
      <c r="G15">
        <v>32.700000000000003</v>
      </c>
      <c r="H15">
        <v>17.899999999999999</v>
      </c>
      <c r="I15">
        <v>17.899999999999999</v>
      </c>
      <c r="J15">
        <v>51</v>
      </c>
      <c r="K15">
        <v>15</v>
      </c>
      <c r="L15">
        <v>15</v>
      </c>
      <c r="M15">
        <v>44.9</v>
      </c>
      <c r="N15">
        <v>21.1</v>
      </c>
      <c r="O15">
        <v>21.1</v>
      </c>
      <c r="P15">
        <v>0.11</v>
      </c>
      <c r="Q15">
        <v>0.56999999999999995</v>
      </c>
      <c r="R15">
        <v>0.2</v>
      </c>
    </row>
    <row r="16" spans="1:19" x14ac:dyDescent="0.2">
      <c r="A16" t="s">
        <v>29</v>
      </c>
      <c r="B16">
        <v>22.7</v>
      </c>
      <c r="C16">
        <v>27.2</v>
      </c>
      <c r="D16">
        <v>24.7</v>
      </c>
      <c r="E16">
        <v>-2</v>
      </c>
      <c r="F16">
        <v>2</v>
      </c>
      <c r="G16">
        <v>29.4</v>
      </c>
      <c r="H16">
        <v>-6.6999999999999993</v>
      </c>
      <c r="I16">
        <v>6.6999999999999993</v>
      </c>
      <c r="J16">
        <v>29.2</v>
      </c>
      <c r="K16">
        <v>-2</v>
      </c>
      <c r="L16">
        <v>2</v>
      </c>
      <c r="M16">
        <v>35.1</v>
      </c>
      <c r="N16">
        <v>-7.9000000000000021</v>
      </c>
      <c r="O16">
        <v>7.9000000000000021</v>
      </c>
      <c r="P16">
        <v>0.09</v>
      </c>
      <c r="Q16">
        <v>0.62</v>
      </c>
      <c r="R16">
        <v>0.21</v>
      </c>
    </row>
    <row r="17" spans="1:18" x14ac:dyDescent="0.2">
      <c r="A17">
        <v>4</v>
      </c>
      <c r="B17">
        <v>20.8</v>
      </c>
      <c r="C17">
        <v>23.5</v>
      </c>
      <c r="D17">
        <v>31.1</v>
      </c>
      <c r="E17">
        <v>-10.3</v>
      </c>
      <c r="F17">
        <v>10.3</v>
      </c>
      <c r="G17">
        <v>31</v>
      </c>
      <c r="H17">
        <v>-10.199999999999999</v>
      </c>
      <c r="I17">
        <v>10.199999999999999</v>
      </c>
      <c r="J17">
        <v>32.700000000000003</v>
      </c>
      <c r="K17">
        <v>-9.2000000000000028</v>
      </c>
      <c r="L17">
        <v>9.2000000000000028</v>
      </c>
      <c r="M17">
        <v>32.1</v>
      </c>
      <c r="N17">
        <v>-8.6000000000000014</v>
      </c>
      <c r="O17">
        <v>8.6000000000000014</v>
      </c>
      <c r="P17">
        <v>0.08</v>
      </c>
      <c r="Q17">
        <v>0.71</v>
      </c>
      <c r="R17">
        <v>0.41</v>
      </c>
    </row>
    <row r="18" spans="1:18" x14ac:dyDescent="0.2">
      <c r="A18">
        <v>5</v>
      </c>
      <c r="B18">
        <v>27.2</v>
      </c>
      <c r="C18">
        <v>31.5</v>
      </c>
      <c r="D18">
        <v>33.1</v>
      </c>
      <c r="E18">
        <v>-5.9000000000000021</v>
      </c>
      <c r="F18">
        <v>5.9000000000000021</v>
      </c>
      <c r="G18">
        <v>32.1</v>
      </c>
      <c r="H18">
        <v>-4.9000000000000021</v>
      </c>
      <c r="I18">
        <v>4.9000000000000021</v>
      </c>
      <c r="J18">
        <v>37.9</v>
      </c>
      <c r="K18">
        <v>-6.3999999999999986</v>
      </c>
      <c r="L18">
        <v>6.3999999999999986</v>
      </c>
      <c r="M18">
        <v>36.799999999999997</v>
      </c>
      <c r="N18">
        <v>-5.2999999999999972</v>
      </c>
      <c r="O18">
        <v>5.2999999999999972</v>
      </c>
      <c r="P18">
        <v>0.08</v>
      </c>
      <c r="Q18">
        <v>0.53</v>
      </c>
      <c r="R18">
        <v>0.32</v>
      </c>
    </row>
    <row r="19" spans="1:18" x14ac:dyDescent="0.2">
      <c r="A19">
        <v>6</v>
      </c>
      <c r="B19">
        <v>53.3</v>
      </c>
      <c r="C19">
        <v>57.6</v>
      </c>
      <c r="D19">
        <v>40.700000000000003</v>
      </c>
      <c r="E19">
        <v>12.599999999999991</v>
      </c>
      <c r="F19">
        <v>12.599999999999991</v>
      </c>
      <c r="G19">
        <v>32.5</v>
      </c>
      <c r="H19">
        <v>20.8</v>
      </c>
      <c r="I19">
        <v>20.8</v>
      </c>
      <c r="J19">
        <v>46</v>
      </c>
      <c r="K19">
        <v>11.6</v>
      </c>
      <c r="L19">
        <v>11.6</v>
      </c>
      <c r="M19">
        <v>36.299999999999997</v>
      </c>
      <c r="N19">
        <v>21.3</v>
      </c>
      <c r="O19">
        <v>21.3</v>
      </c>
      <c r="P19">
        <v>0.05</v>
      </c>
      <c r="Q19">
        <v>0.43</v>
      </c>
      <c r="R19">
        <v>0.12</v>
      </c>
    </row>
    <row r="20" spans="1:18" x14ac:dyDescent="0.2">
      <c r="F20">
        <f>AVERAGE(F14:F19)</f>
        <v>10.700000000000001</v>
      </c>
      <c r="I20" s="2">
        <f>AVERAGE(I14:I19)</f>
        <v>12.883333333333335</v>
      </c>
      <c r="J20" s="2">
        <f>AVERAGE(F20:I20)</f>
        <v>11.791666666666668</v>
      </c>
      <c r="L20" s="2">
        <f>AVERAGE(L14:L19)</f>
        <v>9.8833333333333346</v>
      </c>
      <c r="O20" s="2">
        <f>AVERAGE(O14:O19)</f>
        <v>12.91666666666667</v>
      </c>
      <c r="P20" s="3">
        <f>AVERAGE(P14:P19)</f>
        <v>7.4999999999999997E-2</v>
      </c>
      <c r="Q20" s="3">
        <f>AVERAGE(Q14:Q19)</f>
        <v>0.55500000000000005</v>
      </c>
      <c r="R20" s="3">
        <f>AVERAGE(R14:R19)</f>
        <v>0.26333333333333336</v>
      </c>
    </row>
    <row r="21" spans="1:18" x14ac:dyDescent="0.2">
      <c r="B21" t="s">
        <v>20</v>
      </c>
      <c r="O21" s="2">
        <f>AVERAGE(L20:O20)</f>
        <v>11.400000000000002</v>
      </c>
    </row>
    <row r="22" spans="1:18" x14ac:dyDescent="0.2">
      <c r="A22" t="s">
        <v>21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8" x14ac:dyDescent="0.2">
      <c r="A23">
        <v>1</v>
      </c>
      <c r="B23">
        <f>B3-B14</f>
        <v>0</v>
      </c>
      <c r="C23">
        <f t="shared" ref="C23:R23" si="0">C3-C14</f>
        <v>0</v>
      </c>
      <c r="D23">
        <f t="shared" si="0"/>
        <v>-9.9999999999997868E-2</v>
      </c>
      <c r="E23">
        <f t="shared" si="0"/>
        <v>0.10000000000000142</v>
      </c>
      <c r="F23">
        <f t="shared" si="0"/>
        <v>-0.10000000000000142</v>
      </c>
      <c r="G23">
        <f t="shared" si="0"/>
        <v>0</v>
      </c>
      <c r="H23">
        <f t="shared" si="0"/>
        <v>0</v>
      </c>
      <c r="I23">
        <f t="shared" si="0"/>
        <v>0</v>
      </c>
      <c r="J23">
        <f t="shared" si="0"/>
        <v>-0.20000000000000284</v>
      </c>
      <c r="K23">
        <f t="shared" si="0"/>
        <v>0.19999999999999929</v>
      </c>
      <c r="L23">
        <f t="shared" si="0"/>
        <v>-0.19999999999999929</v>
      </c>
      <c r="M23">
        <f t="shared" si="0"/>
        <v>0.10000000000000142</v>
      </c>
      <c r="N23">
        <f t="shared" si="0"/>
        <v>-9.9999999999999645E-2</v>
      </c>
      <c r="O23">
        <f t="shared" si="0"/>
        <v>9.9999999999999645E-2</v>
      </c>
      <c r="P23">
        <f t="shared" si="0"/>
        <v>0.12</v>
      </c>
      <c r="Q23">
        <f t="shared" si="0"/>
        <v>0.22999999999999998</v>
      </c>
      <c r="R23">
        <f t="shared" si="0"/>
        <v>0.16999999999999998</v>
      </c>
    </row>
    <row r="24" spans="1:18" x14ac:dyDescent="0.2">
      <c r="A24">
        <v>2</v>
      </c>
      <c r="B24">
        <f t="shared" ref="B24:R24" si="1">B5-B15</f>
        <v>0</v>
      </c>
      <c r="C24">
        <f t="shared" si="1"/>
        <v>0</v>
      </c>
      <c r="D24">
        <f t="shared" si="1"/>
        <v>0</v>
      </c>
      <c r="E24">
        <f t="shared" si="1"/>
        <v>0</v>
      </c>
      <c r="F24">
        <f t="shared" si="1"/>
        <v>0</v>
      </c>
      <c r="G24">
        <f t="shared" si="1"/>
        <v>0</v>
      </c>
      <c r="H24">
        <f t="shared" si="1"/>
        <v>0</v>
      </c>
      <c r="I24">
        <f t="shared" si="1"/>
        <v>0</v>
      </c>
      <c r="J24">
        <f t="shared" si="1"/>
        <v>0</v>
      </c>
      <c r="K24">
        <f t="shared" si="1"/>
        <v>0</v>
      </c>
      <c r="L24">
        <f t="shared" si="1"/>
        <v>0</v>
      </c>
      <c r="M24">
        <f t="shared" si="1"/>
        <v>0</v>
      </c>
      <c r="N24">
        <f t="shared" si="1"/>
        <v>0</v>
      </c>
      <c r="O24">
        <f t="shared" si="1"/>
        <v>0</v>
      </c>
      <c r="P24">
        <f t="shared" si="1"/>
        <v>0</v>
      </c>
      <c r="Q24">
        <f t="shared" si="1"/>
        <v>0</v>
      </c>
      <c r="R24">
        <f t="shared" si="1"/>
        <v>0</v>
      </c>
    </row>
    <row r="25" spans="1:18" x14ac:dyDescent="0.2">
      <c r="A25">
        <v>3</v>
      </c>
      <c r="B25">
        <f t="shared" ref="B25:R25" si="2">B6-B16</f>
        <v>0</v>
      </c>
      <c r="C25">
        <f t="shared" si="2"/>
        <v>0</v>
      </c>
      <c r="D25">
        <f t="shared" si="2"/>
        <v>0</v>
      </c>
      <c r="E25">
        <f t="shared" si="2"/>
        <v>0</v>
      </c>
      <c r="F25">
        <f t="shared" si="2"/>
        <v>0</v>
      </c>
      <c r="G25">
        <f t="shared" si="2"/>
        <v>-0.19999999999999929</v>
      </c>
      <c r="H25">
        <f t="shared" si="2"/>
        <v>0.19999999999999929</v>
      </c>
      <c r="I25">
        <f t="shared" si="2"/>
        <v>-0.19999999999999929</v>
      </c>
      <c r="J25">
        <f t="shared" si="2"/>
        <v>0</v>
      </c>
      <c r="K25">
        <f t="shared" si="2"/>
        <v>0</v>
      </c>
      <c r="L25">
        <f t="shared" si="2"/>
        <v>0</v>
      </c>
      <c r="M25">
        <f t="shared" si="2"/>
        <v>-0.10000000000000142</v>
      </c>
      <c r="N25">
        <f t="shared" si="2"/>
        <v>0.10000000000000142</v>
      </c>
      <c r="O25">
        <f t="shared" si="2"/>
        <v>-0.10000000000000142</v>
      </c>
      <c r="P25">
        <f t="shared" si="2"/>
        <v>0.1</v>
      </c>
      <c r="Q25">
        <f t="shared" si="2"/>
        <v>8.9999999999999969E-2</v>
      </c>
      <c r="R25">
        <f t="shared" si="2"/>
        <v>4.0000000000000008E-2</v>
      </c>
    </row>
    <row r="26" spans="1:18" x14ac:dyDescent="0.2">
      <c r="A26">
        <v>4</v>
      </c>
      <c r="B26">
        <f t="shared" ref="B26:R26" si="3">B8-B17</f>
        <v>0</v>
      </c>
      <c r="C26">
        <f t="shared" si="3"/>
        <v>0</v>
      </c>
      <c r="D26">
        <f t="shared" si="3"/>
        <v>0</v>
      </c>
      <c r="E26">
        <f t="shared" si="3"/>
        <v>0</v>
      </c>
      <c r="F26">
        <f t="shared" si="3"/>
        <v>0</v>
      </c>
      <c r="G26">
        <f t="shared" si="3"/>
        <v>0</v>
      </c>
      <c r="H26">
        <f t="shared" si="3"/>
        <v>0</v>
      </c>
      <c r="I26">
        <f t="shared" si="3"/>
        <v>0</v>
      </c>
      <c r="J26">
        <f t="shared" si="3"/>
        <v>0</v>
      </c>
      <c r="K26">
        <f t="shared" si="3"/>
        <v>0</v>
      </c>
      <c r="L26">
        <f t="shared" si="3"/>
        <v>0</v>
      </c>
      <c r="M26">
        <f t="shared" si="3"/>
        <v>0</v>
      </c>
      <c r="N26">
        <f t="shared" si="3"/>
        <v>0</v>
      </c>
      <c r="O26">
        <f t="shared" si="3"/>
        <v>0</v>
      </c>
      <c r="P26">
        <f t="shared" si="3"/>
        <v>0</v>
      </c>
      <c r="Q26">
        <f t="shared" si="3"/>
        <v>0</v>
      </c>
      <c r="R26">
        <f t="shared" si="3"/>
        <v>0</v>
      </c>
    </row>
    <row r="27" spans="1:18" x14ac:dyDescent="0.2">
      <c r="A27">
        <v>5</v>
      </c>
      <c r="B27">
        <f t="shared" ref="B27:R27" si="4">B9-B18</f>
        <v>0</v>
      </c>
      <c r="C27">
        <f t="shared" si="4"/>
        <v>0</v>
      </c>
      <c r="D27">
        <f t="shared" si="4"/>
        <v>0</v>
      </c>
      <c r="E27">
        <f t="shared" si="4"/>
        <v>0</v>
      </c>
      <c r="F27">
        <f t="shared" si="4"/>
        <v>0</v>
      </c>
      <c r="G27">
        <f t="shared" si="4"/>
        <v>0</v>
      </c>
      <c r="H27">
        <f t="shared" si="4"/>
        <v>0</v>
      </c>
      <c r="I27">
        <f t="shared" si="4"/>
        <v>0</v>
      </c>
      <c r="J27">
        <f t="shared" si="4"/>
        <v>0</v>
      </c>
      <c r="K27">
        <f t="shared" si="4"/>
        <v>0</v>
      </c>
      <c r="L27">
        <f t="shared" si="4"/>
        <v>0</v>
      </c>
      <c r="M27">
        <f t="shared" si="4"/>
        <v>0</v>
      </c>
      <c r="N27">
        <f t="shared" si="4"/>
        <v>0</v>
      </c>
      <c r="O27">
        <f t="shared" si="4"/>
        <v>0</v>
      </c>
      <c r="P27">
        <f t="shared" si="4"/>
        <v>0</v>
      </c>
      <c r="Q27">
        <f t="shared" si="4"/>
        <v>1.0000000000000009E-2</v>
      </c>
      <c r="R27">
        <f t="shared" si="4"/>
        <v>0</v>
      </c>
    </row>
    <row r="28" spans="1:18" x14ac:dyDescent="0.2">
      <c r="A28">
        <v>6</v>
      </c>
      <c r="B28">
        <f t="shared" ref="B28:R28" si="5">B10-B19</f>
        <v>0</v>
      </c>
      <c r="C28">
        <f t="shared" si="5"/>
        <v>0</v>
      </c>
      <c r="D28">
        <f t="shared" si="5"/>
        <v>0</v>
      </c>
      <c r="E28">
        <f t="shared" si="5"/>
        <v>0</v>
      </c>
      <c r="F28">
        <f t="shared" si="5"/>
        <v>0</v>
      </c>
      <c r="G28">
        <f t="shared" si="5"/>
        <v>0</v>
      </c>
      <c r="H28">
        <f t="shared" si="5"/>
        <v>0</v>
      </c>
      <c r="I28">
        <f t="shared" si="5"/>
        <v>0</v>
      </c>
      <c r="J28">
        <f t="shared" si="5"/>
        <v>0</v>
      </c>
      <c r="K28">
        <f t="shared" si="5"/>
        <v>0</v>
      </c>
      <c r="L28">
        <f t="shared" si="5"/>
        <v>0</v>
      </c>
      <c r="M28">
        <f t="shared" si="5"/>
        <v>0</v>
      </c>
      <c r="N28">
        <f t="shared" si="5"/>
        <v>0</v>
      </c>
      <c r="O28">
        <f t="shared" si="5"/>
        <v>0</v>
      </c>
      <c r="P28">
        <f t="shared" si="5"/>
        <v>0</v>
      </c>
      <c r="Q28">
        <f t="shared" si="5"/>
        <v>0</v>
      </c>
      <c r="R28">
        <f t="shared" si="5"/>
        <v>0</v>
      </c>
    </row>
    <row r="31" spans="1:18" x14ac:dyDescent="0.2">
      <c r="A31" t="s">
        <v>21</v>
      </c>
      <c r="B31" t="s">
        <v>26</v>
      </c>
      <c r="C31" t="s">
        <v>15</v>
      </c>
      <c r="D31" t="s">
        <v>16</v>
      </c>
    </row>
    <row r="32" spans="1:18" x14ac:dyDescent="0.2">
      <c r="A32">
        <v>1</v>
      </c>
      <c r="B32" s="3">
        <v>0.16</v>
      </c>
      <c r="C32" s="3">
        <v>0.7</v>
      </c>
      <c r="D32" s="3">
        <v>0.49</v>
      </c>
      <c r="E32" s="4">
        <f>RANK(B32,B$32:B$37,0)</f>
        <v>2</v>
      </c>
      <c r="F32" s="4">
        <f t="shared" ref="F32:F37" si="6">RANK(C32,C$32:C$37,0)</f>
        <v>3</v>
      </c>
      <c r="G32" s="4">
        <f t="shared" ref="G32:G37" si="7">RANK(D32,D$32:D$37,0)</f>
        <v>1</v>
      </c>
      <c r="H32" s="4">
        <v>6</v>
      </c>
      <c r="I32" s="4">
        <v>5</v>
      </c>
      <c r="J32" s="4">
        <v>2</v>
      </c>
      <c r="K32" s="3">
        <f>STDEV(E32:J32)</f>
        <v>1.9407902170679516</v>
      </c>
      <c r="L32" s="3">
        <f>_xlfn.STDEV.P(E32:G32)</f>
        <v>0.81649658092772603</v>
      </c>
      <c r="M32" s="4"/>
    </row>
    <row r="33" spans="1:13" x14ac:dyDescent="0.2">
      <c r="A33">
        <v>2</v>
      </c>
      <c r="B33" s="3">
        <v>0.11</v>
      </c>
      <c r="C33" s="3">
        <v>0.56999999999999995</v>
      </c>
      <c r="D33" s="3">
        <v>0.2</v>
      </c>
      <c r="E33" s="4">
        <f t="shared" ref="E33:E37" si="8">RANK(B33,B$32:B$37,0)</f>
        <v>3</v>
      </c>
      <c r="F33" s="4">
        <f t="shared" si="6"/>
        <v>4</v>
      </c>
      <c r="G33" s="4">
        <f t="shared" si="7"/>
        <v>5</v>
      </c>
      <c r="H33" s="4">
        <v>1</v>
      </c>
      <c r="I33" s="4">
        <v>3</v>
      </c>
      <c r="J33" s="4">
        <v>5</v>
      </c>
      <c r="K33" s="3">
        <f>STDEV(E33:J33)</f>
        <v>1.51657508881031</v>
      </c>
      <c r="L33" s="3">
        <f>_xlfn.STDEV.P(E33:G33)</f>
        <v>0.81649658092772603</v>
      </c>
      <c r="M33" s="4"/>
    </row>
    <row r="34" spans="1:13" x14ac:dyDescent="0.2">
      <c r="A34">
        <v>3</v>
      </c>
      <c r="B34" s="3">
        <v>0.19</v>
      </c>
      <c r="C34" s="3">
        <v>0.71</v>
      </c>
      <c r="D34" s="3">
        <v>0.25</v>
      </c>
      <c r="E34" s="4">
        <f t="shared" si="8"/>
        <v>1</v>
      </c>
      <c r="F34" s="4">
        <f t="shared" si="6"/>
        <v>1</v>
      </c>
      <c r="G34" s="4">
        <f t="shared" si="7"/>
        <v>4</v>
      </c>
      <c r="H34" s="4">
        <v>2</v>
      </c>
      <c r="I34" s="4">
        <v>2</v>
      </c>
      <c r="J34" s="4">
        <v>4</v>
      </c>
      <c r="K34" s="3">
        <f>STDEV(E34:J34)</f>
        <v>1.3662601021279466</v>
      </c>
      <c r="L34" s="3">
        <f>_xlfn.STDEV.P(E34:G34)</f>
        <v>1.4142135623730951</v>
      </c>
      <c r="M34" s="4"/>
    </row>
    <row r="35" spans="1:13" x14ac:dyDescent="0.2">
      <c r="A35">
        <v>4</v>
      </c>
      <c r="B35" s="3">
        <v>0.08</v>
      </c>
      <c r="C35" s="3">
        <v>0.71</v>
      </c>
      <c r="D35" s="3">
        <v>0.41</v>
      </c>
      <c r="E35" s="4">
        <f t="shared" si="8"/>
        <v>4</v>
      </c>
      <c r="F35" s="4">
        <f t="shared" si="6"/>
        <v>1</v>
      </c>
      <c r="G35" s="4">
        <f t="shared" si="7"/>
        <v>2</v>
      </c>
      <c r="H35" s="4">
        <v>3</v>
      </c>
      <c r="I35" s="4">
        <v>1</v>
      </c>
      <c r="J35" s="4">
        <v>1</v>
      </c>
      <c r="K35" s="3">
        <f>STDEV(E35:J35)</f>
        <v>1.2649110640673518</v>
      </c>
      <c r="L35" s="3">
        <f>_xlfn.STDEV.P(E35:G35)</f>
        <v>1.247219128924647</v>
      </c>
      <c r="M35" s="4"/>
    </row>
    <row r="36" spans="1:13" x14ac:dyDescent="0.2">
      <c r="A36">
        <v>5</v>
      </c>
      <c r="B36" s="3">
        <v>0.08</v>
      </c>
      <c r="C36" s="3">
        <v>0.54</v>
      </c>
      <c r="D36" s="3">
        <v>0.32</v>
      </c>
      <c r="E36" s="4">
        <f t="shared" si="8"/>
        <v>4</v>
      </c>
      <c r="F36" s="4">
        <f t="shared" si="6"/>
        <v>5</v>
      </c>
      <c r="G36" s="4">
        <f t="shared" si="7"/>
        <v>3</v>
      </c>
      <c r="H36" s="4">
        <v>3</v>
      </c>
      <c r="I36" s="4">
        <v>4</v>
      </c>
      <c r="J36" s="4">
        <v>2</v>
      </c>
      <c r="K36" s="3">
        <f>STDEV(E36:J36)</f>
        <v>1.0488088481701516</v>
      </c>
      <c r="L36" s="3">
        <f>_xlfn.STDEV.P(E36:G36)</f>
        <v>0.81649658092772603</v>
      </c>
      <c r="M36" s="4"/>
    </row>
    <row r="37" spans="1:13" x14ac:dyDescent="0.2">
      <c r="A37" s="5">
        <v>6</v>
      </c>
      <c r="B37" s="7">
        <v>0.05</v>
      </c>
      <c r="C37" s="7">
        <v>0.43</v>
      </c>
      <c r="D37" s="7">
        <v>0.12</v>
      </c>
      <c r="E37" s="6">
        <f t="shared" si="8"/>
        <v>6</v>
      </c>
      <c r="F37" s="6">
        <f t="shared" si="6"/>
        <v>6</v>
      </c>
      <c r="G37" s="6">
        <f t="shared" si="7"/>
        <v>6</v>
      </c>
      <c r="H37" s="4">
        <v>5</v>
      </c>
      <c r="I37" s="4">
        <v>6</v>
      </c>
      <c r="J37" s="4">
        <v>6</v>
      </c>
      <c r="K37" s="3">
        <f>STDEV(E37:J37)</f>
        <v>0.40824829046386302</v>
      </c>
      <c r="L37" s="3">
        <f>_xlfn.STDEV.P(E37:G37)</f>
        <v>0</v>
      </c>
      <c r="M37" s="4"/>
    </row>
    <row r="38" spans="1:13" x14ac:dyDescent="0.2">
      <c r="A38">
        <v>1</v>
      </c>
      <c r="B38" s="3">
        <v>0.04</v>
      </c>
      <c r="C38" s="3">
        <v>0.47</v>
      </c>
      <c r="D38" s="3">
        <v>0.32</v>
      </c>
      <c r="E38" s="4">
        <f>RANK(B38,B$38:B$43,0)</f>
        <v>6</v>
      </c>
      <c r="F38" s="4">
        <f t="shared" ref="F38:F43" si="9">RANK(C38,C$38:C$43,0)</f>
        <v>5</v>
      </c>
      <c r="G38" s="4">
        <f t="shared" ref="G38:G43" si="10">RANK(D38,D$38:D$43,0)</f>
        <v>2</v>
      </c>
    </row>
    <row r="39" spans="1:13" x14ac:dyDescent="0.2">
      <c r="A39">
        <v>2</v>
      </c>
      <c r="B39" s="3">
        <v>0.11</v>
      </c>
      <c r="C39" s="3">
        <v>0.56999999999999995</v>
      </c>
      <c r="D39" s="3">
        <v>0.2</v>
      </c>
      <c r="E39" s="4">
        <f t="shared" ref="E39:E43" si="11">RANK(B39,B$38:B$43,0)</f>
        <v>1</v>
      </c>
      <c r="F39" s="4">
        <f t="shared" si="9"/>
        <v>3</v>
      </c>
      <c r="G39" s="4">
        <f t="shared" si="10"/>
        <v>5</v>
      </c>
    </row>
    <row r="40" spans="1:13" x14ac:dyDescent="0.2">
      <c r="A40">
        <v>3</v>
      </c>
      <c r="B40" s="3">
        <v>0.09</v>
      </c>
      <c r="C40" s="3">
        <v>0.62</v>
      </c>
      <c r="D40" s="3">
        <v>0.21</v>
      </c>
      <c r="E40" s="4">
        <f t="shared" si="11"/>
        <v>2</v>
      </c>
      <c r="F40" s="4">
        <f t="shared" si="9"/>
        <v>2</v>
      </c>
      <c r="G40" s="4">
        <f t="shared" si="10"/>
        <v>4</v>
      </c>
    </row>
    <row r="41" spans="1:13" x14ac:dyDescent="0.2">
      <c r="A41">
        <v>4</v>
      </c>
      <c r="B41" s="3">
        <v>0.08</v>
      </c>
      <c r="C41" s="3">
        <v>0.71</v>
      </c>
      <c r="D41" s="3">
        <v>0.41</v>
      </c>
      <c r="E41" s="4">
        <f t="shared" si="11"/>
        <v>3</v>
      </c>
      <c r="F41" s="4">
        <f t="shared" si="9"/>
        <v>1</v>
      </c>
      <c r="G41" s="4">
        <f t="shared" si="10"/>
        <v>1</v>
      </c>
    </row>
    <row r="42" spans="1:13" x14ac:dyDescent="0.2">
      <c r="A42">
        <v>5</v>
      </c>
      <c r="B42" s="3">
        <v>0.08</v>
      </c>
      <c r="C42" s="3">
        <v>0.53</v>
      </c>
      <c r="D42" s="3">
        <v>0.32</v>
      </c>
      <c r="E42" s="4">
        <f t="shared" si="11"/>
        <v>3</v>
      </c>
      <c r="F42" s="4">
        <f t="shared" si="9"/>
        <v>4</v>
      </c>
      <c r="G42" s="4">
        <f t="shared" si="10"/>
        <v>2</v>
      </c>
    </row>
    <row r="43" spans="1:13" x14ac:dyDescent="0.2">
      <c r="A43">
        <v>6</v>
      </c>
      <c r="B43" s="3">
        <v>0.05</v>
      </c>
      <c r="C43" s="3">
        <v>0.43</v>
      </c>
      <c r="D43" s="3">
        <v>0.12</v>
      </c>
      <c r="E43" s="4">
        <f t="shared" si="11"/>
        <v>5</v>
      </c>
      <c r="F43" s="4">
        <f t="shared" si="9"/>
        <v>6</v>
      </c>
      <c r="G43" s="4">
        <f t="shared" si="10"/>
        <v>6</v>
      </c>
    </row>
    <row r="50" spans="1:19" x14ac:dyDescent="0.2">
      <c r="A50" t="s">
        <v>21</v>
      </c>
      <c r="B50" t="s">
        <v>0</v>
      </c>
      <c r="C50" t="s">
        <v>1</v>
      </c>
      <c r="D50" t="s">
        <v>2</v>
      </c>
      <c r="E50" t="s">
        <v>3</v>
      </c>
      <c r="F50" t="s">
        <v>4</v>
      </c>
      <c r="G50" t="s">
        <v>5</v>
      </c>
      <c r="H50" t="s">
        <v>6</v>
      </c>
      <c r="I50" t="s">
        <v>7</v>
      </c>
      <c r="J50" t="s">
        <v>8</v>
      </c>
      <c r="K50" t="s">
        <v>9</v>
      </c>
      <c r="L50" t="s">
        <v>10</v>
      </c>
      <c r="M50" t="s">
        <v>11</v>
      </c>
      <c r="N50" t="s">
        <v>12</v>
      </c>
      <c r="O50" t="s">
        <v>13</v>
      </c>
      <c r="P50" t="s">
        <v>14</v>
      </c>
      <c r="Q50" t="s">
        <v>15</v>
      </c>
      <c r="R50" t="s">
        <v>16</v>
      </c>
    </row>
    <row r="51" spans="1:19" x14ac:dyDescent="0.2">
      <c r="A51" s="1">
        <v>1</v>
      </c>
      <c r="B51">
        <v>13.4</v>
      </c>
      <c r="C51">
        <v>30.6</v>
      </c>
      <c r="D51">
        <v>30.6</v>
      </c>
      <c r="E51">
        <v>-17.2</v>
      </c>
      <c r="F51">
        <v>17.2</v>
      </c>
      <c r="G51">
        <v>30.2</v>
      </c>
      <c r="H51">
        <v>-16.8</v>
      </c>
      <c r="I51">
        <v>16.8</v>
      </c>
      <c r="J51">
        <v>45.5</v>
      </c>
      <c r="K51">
        <v>-14.9</v>
      </c>
      <c r="L51">
        <v>14.9</v>
      </c>
      <c r="M51">
        <v>44</v>
      </c>
      <c r="N51">
        <v>-13.4</v>
      </c>
      <c r="O51">
        <v>13.4</v>
      </c>
      <c r="P51">
        <v>0.16</v>
      </c>
      <c r="Q51">
        <v>0.7</v>
      </c>
      <c r="R51">
        <v>0.49</v>
      </c>
      <c r="S51" t="s">
        <v>22</v>
      </c>
    </row>
    <row r="52" spans="1:19" x14ac:dyDescent="0.2">
      <c r="A52" s="1" t="s">
        <v>28</v>
      </c>
      <c r="B52">
        <v>13.4</v>
      </c>
      <c r="C52">
        <v>30.6</v>
      </c>
      <c r="D52">
        <v>30.7</v>
      </c>
      <c r="E52">
        <v>-17.3</v>
      </c>
      <c r="F52">
        <v>17.3</v>
      </c>
      <c r="G52">
        <v>30.2</v>
      </c>
      <c r="H52">
        <v>-16.8</v>
      </c>
      <c r="I52">
        <v>16.8</v>
      </c>
      <c r="J52">
        <v>45.7</v>
      </c>
      <c r="K52">
        <v>-15.1</v>
      </c>
      <c r="L52">
        <v>15.1</v>
      </c>
      <c r="M52">
        <v>43.9</v>
      </c>
      <c r="N52">
        <v>-13.3</v>
      </c>
      <c r="O52">
        <v>13.3</v>
      </c>
      <c r="P52">
        <v>0.04</v>
      </c>
      <c r="Q52">
        <v>0.47</v>
      </c>
      <c r="R52">
        <v>0.32</v>
      </c>
    </row>
    <row r="53" spans="1:19" x14ac:dyDescent="0.2">
      <c r="A53" s="1">
        <v>2</v>
      </c>
      <c r="B53">
        <v>50.6</v>
      </c>
      <c r="C53">
        <v>66</v>
      </c>
      <c r="D53">
        <v>34.5</v>
      </c>
      <c r="E53">
        <v>16.100000000000001</v>
      </c>
      <c r="F53">
        <v>16.100000000000001</v>
      </c>
      <c r="G53">
        <v>32.700000000000003</v>
      </c>
      <c r="H53">
        <v>17.899999999999999</v>
      </c>
      <c r="I53">
        <v>17.899999999999999</v>
      </c>
      <c r="J53">
        <v>51</v>
      </c>
      <c r="K53">
        <v>15</v>
      </c>
      <c r="L53">
        <v>15</v>
      </c>
      <c r="M53">
        <v>44.9</v>
      </c>
      <c r="N53">
        <v>21.1</v>
      </c>
      <c r="O53">
        <v>21.1</v>
      </c>
      <c r="P53">
        <v>0.11</v>
      </c>
      <c r="Q53">
        <v>0.56999999999999995</v>
      </c>
      <c r="R53">
        <v>0.2</v>
      </c>
    </row>
    <row r="54" spans="1:19" x14ac:dyDescent="0.2">
      <c r="A54" s="1">
        <v>3</v>
      </c>
      <c r="B54">
        <v>22.7</v>
      </c>
      <c r="C54">
        <v>27.2</v>
      </c>
      <c r="D54">
        <v>24.7</v>
      </c>
      <c r="E54">
        <v>-2</v>
      </c>
      <c r="F54">
        <v>2</v>
      </c>
      <c r="G54">
        <v>29.2</v>
      </c>
      <c r="H54">
        <v>-6.5</v>
      </c>
      <c r="I54">
        <v>6.5</v>
      </c>
      <c r="J54">
        <v>29.2</v>
      </c>
      <c r="K54">
        <v>-2</v>
      </c>
      <c r="L54">
        <v>2</v>
      </c>
      <c r="M54">
        <v>35</v>
      </c>
      <c r="N54">
        <v>-7.8000000000000007</v>
      </c>
      <c r="O54">
        <v>7.8000000000000007</v>
      </c>
      <c r="P54">
        <v>0.19</v>
      </c>
      <c r="Q54">
        <v>0.71</v>
      </c>
      <c r="R54">
        <v>0.25</v>
      </c>
      <c r="S54" t="s">
        <v>23</v>
      </c>
    </row>
    <row r="55" spans="1:19" x14ac:dyDescent="0.2">
      <c r="A55" s="1" t="s">
        <v>29</v>
      </c>
      <c r="B55">
        <v>22.7</v>
      </c>
      <c r="C55">
        <v>27.2</v>
      </c>
      <c r="D55">
        <v>24.7</v>
      </c>
      <c r="E55">
        <v>-2</v>
      </c>
      <c r="F55">
        <v>2</v>
      </c>
      <c r="G55">
        <v>29.4</v>
      </c>
      <c r="H55">
        <v>-6.6999999999999993</v>
      </c>
      <c r="I55">
        <v>6.6999999999999993</v>
      </c>
      <c r="J55">
        <v>29.2</v>
      </c>
      <c r="K55">
        <v>-2</v>
      </c>
      <c r="L55">
        <v>2</v>
      </c>
      <c r="M55">
        <v>35.1</v>
      </c>
      <c r="N55">
        <v>-7.9000000000000021</v>
      </c>
      <c r="O55">
        <v>7.9000000000000021</v>
      </c>
      <c r="P55">
        <v>0.09</v>
      </c>
      <c r="Q55">
        <v>0.62</v>
      </c>
      <c r="R55">
        <v>0.21</v>
      </c>
    </row>
    <row r="56" spans="1:19" x14ac:dyDescent="0.2">
      <c r="A56" s="1">
        <v>4</v>
      </c>
      <c r="B56">
        <v>20.8</v>
      </c>
      <c r="C56">
        <v>23.5</v>
      </c>
      <c r="D56">
        <v>31.1</v>
      </c>
      <c r="E56">
        <v>-10.3</v>
      </c>
      <c r="F56">
        <v>10.3</v>
      </c>
      <c r="G56">
        <v>31</v>
      </c>
      <c r="H56">
        <v>-10.199999999999999</v>
      </c>
      <c r="I56">
        <v>10.199999999999999</v>
      </c>
      <c r="J56">
        <v>32.700000000000003</v>
      </c>
      <c r="K56">
        <v>-9.2000000000000028</v>
      </c>
      <c r="L56">
        <v>9.2000000000000028</v>
      </c>
      <c r="M56">
        <v>32.1</v>
      </c>
      <c r="N56">
        <v>-8.6000000000000014</v>
      </c>
      <c r="O56">
        <v>8.6000000000000014</v>
      </c>
      <c r="P56">
        <v>0.08</v>
      </c>
      <c r="Q56">
        <v>0.71</v>
      </c>
      <c r="R56">
        <v>0.41</v>
      </c>
    </row>
    <row r="57" spans="1:19" x14ac:dyDescent="0.2">
      <c r="A57" s="1">
        <v>5</v>
      </c>
      <c r="B57">
        <v>27.2</v>
      </c>
      <c r="C57">
        <v>31.5</v>
      </c>
      <c r="D57">
        <v>33.1</v>
      </c>
      <c r="E57">
        <v>-5.9000000000000021</v>
      </c>
      <c r="F57">
        <v>5.9000000000000021</v>
      </c>
      <c r="G57">
        <v>32.1</v>
      </c>
      <c r="H57">
        <v>-4.9000000000000021</v>
      </c>
      <c r="I57">
        <v>4.9000000000000021</v>
      </c>
      <c r="J57">
        <v>37.9</v>
      </c>
      <c r="K57">
        <v>-6.3999999999999986</v>
      </c>
      <c r="L57">
        <v>6.3999999999999986</v>
      </c>
      <c r="M57">
        <v>36.799999999999997</v>
      </c>
      <c r="N57">
        <v>-5.2999999999999972</v>
      </c>
      <c r="O57">
        <v>5.2999999999999972</v>
      </c>
      <c r="P57">
        <v>0.08</v>
      </c>
      <c r="Q57">
        <v>0.54</v>
      </c>
      <c r="R57">
        <v>0.32</v>
      </c>
      <c r="S57" t="s">
        <v>24</v>
      </c>
    </row>
    <row r="58" spans="1:19" x14ac:dyDescent="0.2">
      <c r="A58" s="1">
        <v>6</v>
      </c>
      <c r="B58">
        <v>53.3</v>
      </c>
      <c r="C58">
        <v>57.6</v>
      </c>
      <c r="D58">
        <v>40.700000000000003</v>
      </c>
      <c r="E58">
        <v>12.599999999999991</v>
      </c>
      <c r="F58">
        <v>12.599999999999991</v>
      </c>
      <c r="G58">
        <v>32.5</v>
      </c>
      <c r="H58">
        <v>20.8</v>
      </c>
      <c r="I58">
        <v>20.8</v>
      </c>
      <c r="J58">
        <v>46</v>
      </c>
      <c r="K58">
        <v>11.6</v>
      </c>
      <c r="L58">
        <v>11.6</v>
      </c>
      <c r="M58">
        <v>36.299999999999997</v>
      </c>
      <c r="N58">
        <v>21.3</v>
      </c>
      <c r="O58">
        <v>21.3</v>
      </c>
      <c r="P58">
        <v>0.05</v>
      </c>
      <c r="Q58">
        <v>0.43</v>
      </c>
      <c r="R58">
        <v>0.12</v>
      </c>
    </row>
    <row r="59" spans="1:19" x14ac:dyDescent="0.2">
      <c r="L59">
        <f>AVERAGE(L51:L58)</f>
        <v>9.5249999999999986</v>
      </c>
    </row>
    <row r="62" spans="1:19" x14ac:dyDescent="0.2">
      <c r="A62" t="s">
        <v>21</v>
      </c>
      <c r="B62" t="s">
        <v>21</v>
      </c>
      <c r="C62" t="s">
        <v>27</v>
      </c>
      <c r="D62" t="s">
        <v>30</v>
      </c>
      <c r="E62" t="s">
        <v>31</v>
      </c>
      <c r="F62" t="s">
        <v>30</v>
      </c>
    </row>
    <row r="63" spans="1:19" x14ac:dyDescent="0.2">
      <c r="A63" s="1">
        <v>1</v>
      </c>
      <c r="B63" s="2">
        <v>13.4</v>
      </c>
      <c r="C63" s="2">
        <v>30.6</v>
      </c>
      <c r="D63" s="2">
        <v>-17.2</v>
      </c>
      <c r="E63" s="2">
        <v>30.2</v>
      </c>
      <c r="F63" s="2">
        <v>-16.8</v>
      </c>
    </row>
    <row r="64" spans="1:19" x14ac:dyDescent="0.2">
      <c r="A64" s="1" t="s">
        <v>28</v>
      </c>
      <c r="B64" s="2">
        <v>13.4</v>
      </c>
      <c r="C64" s="2">
        <v>30.7</v>
      </c>
      <c r="D64" s="2">
        <v>-17.3</v>
      </c>
      <c r="E64" s="2">
        <v>30.2</v>
      </c>
      <c r="F64" s="2">
        <v>-16.8</v>
      </c>
    </row>
    <row r="65" spans="1:6" x14ac:dyDescent="0.2">
      <c r="A65" s="1">
        <v>2</v>
      </c>
      <c r="B65" s="2">
        <v>50.6</v>
      </c>
      <c r="C65" s="2">
        <v>34.5</v>
      </c>
      <c r="D65" s="2">
        <v>16.100000000000001</v>
      </c>
      <c r="E65" s="2">
        <v>32.700000000000003</v>
      </c>
      <c r="F65" s="2">
        <v>17.899999999999999</v>
      </c>
    </row>
    <row r="66" spans="1:6" x14ac:dyDescent="0.2">
      <c r="A66" s="1">
        <v>3</v>
      </c>
      <c r="B66" s="2">
        <v>22.7</v>
      </c>
      <c r="C66" s="2">
        <v>24.7</v>
      </c>
      <c r="D66" s="2">
        <v>-2</v>
      </c>
      <c r="E66" s="2">
        <v>29.2</v>
      </c>
      <c r="F66" s="2">
        <v>-6.5</v>
      </c>
    </row>
    <row r="67" spans="1:6" x14ac:dyDescent="0.2">
      <c r="A67" s="1" t="s">
        <v>29</v>
      </c>
      <c r="B67" s="2">
        <v>22.7</v>
      </c>
      <c r="C67" s="2">
        <v>24.7</v>
      </c>
      <c r="D67" s="2">
        <v>-2</v>
      </c>
      <c r="E67" s="2">
        <v>29.4</v>
      </c>
      <c r="F67" s="2">
        <v>-6.6999999999999993</v>
      </c>
    </row>
    <row r="68" spans="1:6" x14ac:dyDescent="0.2">
      <c r="A68" s="1">
        <v>4</v>
      </c>
      <c r="B68" s="2">
        <v>20.8</v>
      </c>
      <c r="C68" s="2">
        <v>31.1</v>
      </c>
      <c r="D68" s="2">
        <v>-10.3</v>
      </c>
      <c r="E68" s="2">
        <v>31</v>
      </c>
      <c r="F68" s="2">
        <v>-10.199999999999999</v>
      </c>
    </row>
    <row r="69" spans="1:6" x14ac:dyDescent="0.2">
      <c r="A69" s="1">
        <v>5</v>
      </c>
      <c r="B69" s="2">
        <v>27.2</v>
      </c>
      <c r="C69" s="2">
        <v>33.1</v>
      </c>
      <c r="D69" s="2">
        <v>-5.9000000000000021</v>
      </c>
      <c r="E69" s="2">
        <v>32.1</v>
      </c>
      <c r="F69" s="2">
        <v>-4.9000000000000021</v>
      </c>
    </row>
    <row r="70" spans="1:6" x14ac:dyDescent="0.2">
      <c r="A70" s="1">
        <v>6</v>
      </c>
      <c r="B70" s="2">
        <v>53.3</v>
      </c>
      <c r="C70" s="2">
        <v>40.700000000000003</v>
      </c>
      <c r="D70" s="2">
        <v>12.599999999999991</v>
      </c>
      <c r="E70" s="2">
        <v>32.5</v>
      </c>
      <c r="F70" s="2">
        <v>20.8</v>
      </c>
    </row>
    <row r="73" spans="1:6" x14ac:dyDescent="0.2">
      <c r="A73" t="s">
        <v>21</v>
      </c>
      <c r="B73" t="s">
        <v>21</v>
      </c>
      <c r="C73" t="s">
        <v>27</v>
      </c>
      <c r="D73" t="s">
        <v>30</v>
      </c>
      <c r="E73" t="s">
        <v>31</v>
      </c>
      <c r="F73" t="s">
        <v>30</v>
      </c>
    </row>
    <row r="74" spans="1:6" x14ac:dyDescent="0.2">
      <c r="A74" s="1">
        <v>1</v>
      </c>
      <c r="B74" s="2">
        <v>30.6</v>
      </c>
      <c r="C74" s="2">
        <v>45.5</v>
      </c>
      <c r="D74" s="2">
        <v>-14.9</v>
      </c>
      <c r="E74" s="2">
        <v>44</v>
      </c>
      <c r="F74" s="2">
        <v>-13.4</v>
      </c>
    </row>
    <row r="75" spans="1:6" x14ac:dyDescent="0.2">
      <c r="A75" s="1" t="s">
        <v>28</v>
      </c>
      <c r="B75" s="2">
        <v>30.6</v>
      </c>
      <c r="C75" s="2">
        <v>45.7</v>
      </c>
      <c r="D75" s="2">
        <v>-15.1</v>
      </c>
      <c r="E75" s="2">
        <v>43.9</v>
      </c>
      <c r="F75" s="2">
        <v>-13.3</v>
      </c>
    </row>
    <row r="76" spans="1:6" x14ac:dyDescent="0.2">
      <c r="A76" s="1">
        <v>2</v>
      </c>
      <c r="B76" s="2">
        <v>66</v>
      </c>
      <c r="C76" s="2">
        <v>51</v>
      </c>
      <c r="D76" s="2">
        <v>15</v>
      </c>
      <c r="E76" s="2">
        <v>44.9</v>
      </c>
      <c r="F76" s="2">
        <v>21.1</v>
      </c>
    </row>
    <row r="77" spans="1:6" x14ac:dyDescent="0.2">
      <c r="A77" s="1">
        <v>3</v>
      </c>
      <c r="B77" s="2">
        <v>27.2</v>
      </c>
      <c r="C77" s="2">
        <v>29.2</v>
      </c>
      <c r="D77" s="2">
        <v>-2</v>
      </c>
      <c r="E77" s="2">
        <v>35</v>
      </c>
      <c r="F77" s="2">
        <v>-7.8000000000000007</v>
      </c>
    </row>
    <row r="78" spans="1:6" x14ac:dyDescent="0.2">
      <c r="A78" s="1" t="s">
        <v>29</v>
      </c>
      <c r="B78" s="2">
        <v>27.2</v>
      </c>
      <c r="C78" s="2">
        <v>29.2</v>
      </c>
      <c r="D78" s="2">
        <v>-2</v>
      </c>
      <c r="E78" s="2">
        <v>35.1</v>
      </c>
      <c r="F78" s="2">
        <v>-7.9000000000000021</v>
      </c>
    </row>
    <row r="79" spans="1:6" x14ac:dyDescent="0.2">
      <c r="A79" s="1">
        <v>4</v>
      </c>
      <c r="B79" s="2">
        <v>23.5</v>
      </c>
      <c r="C79" s="2">
        <v>32.700000000000003</v>
      </c>
      <c r="D79" s="2">
        <v>-9.2000000000000028</v>
      </c>
      <c r="E79" s="2">
        <v>32.1</v>
      </c>
      <c r="F79" s="2">
        <v>-8.6000000000000014</v>
      </c>
    </row>
    <row r="80" spans="1:6" x14ac:dyDescent="0.2">
      <c r="A80" s="1">
        <v>5</v>
      </c>
      <c r="B80" s="2">
        <v>31.5</v>
      </c>
      <c r="C80" s="2">
        <v>37.9</v>
      </c>
      <c r="D80" s="2">
        <v>-6.3999999999999986</v>
      </c>
      <c r="E80" s="2">
        <v>36.799999999999997</v>
      </c>
      <c r="F80" s="2">
        <v>-5.2999999999999972</v>
      </c>
    </row>
    <row r="81" spans="1:6" x14ac:dyDescent="0.2">
      <c r="A81" s="1">
        <v>6</v>
      </c>
      <c r="B81" s="2">
        <v>57.6</v>
      </c>
      <c r="C81" s="2">
        <v>46</v>
      </c>
      <c r="D81" s="2">
        <v>11.6</v>
      </c>
      <c r="E81" s="2">
        <v>36.299999999999997</v>
      </c>
      <c r="F81" s="2">
        <v>21.3</v>
      </c>
    </row>
  </sheetData>
  <sortState xmlns:xlrd2="http://schemas.microsoft.com/office/spreadsheetml/2017/richdata2" ref="A14:S19">
    <sortCondition ref="A14:A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31C9-3F32-4236-A393-858DE4B86496}">
  <dimension ref="A1:AQ7"/>
  <sheetViews>
    <sheetView topLeftCell="P1" workbookViewId="0">
      <selection activeCell="AQ7" sqref="AQ2:AQ7"/>
    </sheetView>
  </sheetViews>
  <sheetFormatPr defaultRowHeight="12.75" x14ac:dyDescent="0.2"/>
  <sheetData>
    <row r="1" spans="1:43" ht="25.5" x14ac:dyDescent="0.2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40</v>
      </c>
      <c r="J1" s="8" t="s">
        <v>41</v>
      </c>
      <c r="K1" s="8" t="s">
        <v>42</v>
      </c>
      <c r="L1" s="8" t="s">
        <v>0</v>
      </c>
      <c r="M1" s="8" t="s">
        <v>43</v>
      </c>
      <c r="N1" s="8" t="s">
        <v>44</v>
      </c>
      <c r="O1" s="8" t="s">
        <v>1</v>
      </c>
      <c r="P1" s="8" t="s">
        <v>17</v>
      </c>
      <c r="Q1" s="8" t="s">
        <v>45</v>
      </c>
      <c r="R1" s="8" t="s">
        <v>46</v>
      </c>
      <c r="S1" s="8" t="s">
        <v>2</v>
      </c>
      <c r="T1" s="8" t="s">
        <v>3</v>
      </c>
      <c r="U1" s="8" t="s">
        <v>4</v>
      </c>
      <c r="V1" s="8" t="s">
        <v>47</v>
      </c>
      <c r="W1" s="8" t="s">
        <v>48</v>
      </c>
      <c r="X1" s="8" t="s">
        <v>49</v>
      </c>
      <c r="Y1" s="8" t="s">
        <v>5</v>
      </c>
      <c r="Z1" s="8" t="s">
        <v>6</v>
      </c>
      <c r="AA1" s="8" t="s">
        <v>7</v>
      </c>
      <c r="AB1" s="8" t="s">
        <v>50</v>
      </c>
      <c r="AC1" s="8" t="s">
        <v>51</v>
      </c>
      <c r="AD1" s="8" t="s">
        <v>8</v>
      </c>
      <c r="AE1" s="8" t="s">
        <v>9</v>
      </c>
      <c r="AF1" s="8" t="s">
        <v>10</v>
      </c>
      <c r="AG1" s="8" t="s">
        <v>52</v>
      </c>
      <c r="AH1" s="8" t="s">
        <v>53</v>
      </c>
      <c r="AI1" s="8" t="s">
        <v>11</v>
      </c>
      <c r="AJ1" s="8" t="s">
        <v>12</v>
      </c>
      <c r="AK1" s="8" t="s">
        <v>13</v>
      </c>
      <c r="AL1" s="8" t="s">
        <v>54</v>
      </c>
      <c r="AM1" s="8" t="s">
        <v>55</v>
      </c>
      <c r="AN1" s="8" t="s">
        <v>14</v>
      </c>
      <c r="AO1" s="8" t="s">
        <v>15</v>
      </c>
      <c r="AP1" s="8" t="s">
        <v>16</v>
      </c>
      <c r="AQ1" s="8" t="s">
        <v>56</v>
      </c>
    </row>
    <row r="2" spans="1:43" x14ac:dyDescent="0.2">
      <c r="A2" s="8">
        <v>1</v>
      </c>
      <c r="B2" s="8">
        <v>2</v>
      </c>
      <c r="C2" s="8">
        <v>2</v>
      </c>
      <c r="D2" s="8" t="s">
        <v>57</v>
      </c>
      <c r="E2" s="8">
        <v>1</v>
      </c>
      <c r="F2" s="8">
        <v>776292</v>
      </c>
      <c r="G2" s="8">
        <v>1</v>
      </c>
      <c r="H2" s="8">
        <v>0.57800599643399997</v>
      </c>
      <c r="I2" s="8">
        <v>8.1923187298899993</v>
      </c>
      <c r="J2" s="8">
        <v>592737.80337290501</v>
      </c>
      <c r="K2" s="8">
        <v>300084.41034382099</v>
      </c>
      <c r="L2" s="8">
        <v>50.6</v>
      </c>
      <c r="M2" s="8">
        <v>313931.00185339298</v>
      </c>
      <c r="N2" s="8">
        <v>207146.001983308</v>
      </c>
      <c r="O2" s="8">
        <v>66</v>
      </c>
      <c r="P2" s="8">
        <v>10808436574.5543</v>
      </c>
      <c r="Q2" s="8">
        <v>1152089.35515499</v>
      </c>
      <c r="R2" s="8">
        <v>396921.96526230598</v>
      </c>
      <c r="S2" s="8">
        <v>34.5</v>
      </c>
      <c r="T2" s="8">
        <v>16.100000000000001</v>
      </c>
      <c r="U2" s="8">
        <v>16.100000000000001</v>
      </c>
      <c r="V2" s="8">
        <v>30368319154.267399</v>
      </c>
      <c r="W2" s="8">
        <v>1867182.2531874301</v>
      </c>
      <c r="X2" s="8">
        <v>610840.26994250598</v>
      </c>
      <c r="Y2" s="8">
        <v>32.700000000000003</v>
      </c>
      <c r="Z2" s="8">
        <v>17.899999999999999</v>
      </c>
      <c r="AA2" s="8">
        <v>17.899999999999999</v>
      </c>
      <c r="AB2" s="8">
        <v>622275.76563028898</v>
      </c>
      <c r="AC2" s="8">
        <v>317425.00999325298</v>
      </c>
      <c r="AD2" s="8">
        <v>51</v>
      </c>
      <c r="AE2" s="8">
        <v>15</v>
      </c>
      <c r="AF2" s="8">
        <v>15</v>
      </c>
      <c r="AG2" s="8">
        <v>1037557.89752169</v>
      </c>
      <c r="AH2" s="8">
        <v>465978.44715554803</v>
      </c>
      <c r="AI2" s="8">
        <v>44.9</v>
      </c>
      <c r="AJ2" s="8">
        <v>21.1</v>
      </c>
      <c r="AK2" s="8">
        <v>21.1</v>
      </c>
      <c r="AL2" s="8">
        <v>6184996041.9614897</v>
      </c>
      <c r="AM2" s="8">
        <v>839509.17449247802</v>
      </c>
      <c r="AN2" s="8">
        <v>0.11</v>
      </c>
      <c r="AO2" s="8">
        <v>0.56999999999999995</v>
      </c>
      <c r="AP2" s="8">
        <v>0.2</v>
      </c>
      <c r="AQ2" s="8">
        <v>0.59195402298850497</v>
      </c>
    </row>
    <row r="3" spans="1:43" x14ac:dyDescent="0.2">
      <c r="A3" s="8">
        <v>2</v>
      </c>
      <c r="B3" s="8">
        <v>3</v>
      </c>
      <c r="C3" s="8">
        <v>3</v>
      </c>
      <c r="D3" s="8" t="s">
        <v>58</v>
      </c>
      <c r="E3" s="8">
        <v>1</v>
      </c>
      <c r="F3" s="8">
        <v>776292</v>
      </c>
      <c r="G3" s="8">
        <v>0</v>
      </c>
      <c r="H3" s="8">
        <v>2.5680081324300001</v>
      </c>
      <c r="I3" s="8">
        <v>13.348879136400001</v>
      </c>
      <c r="J3" s="8">
        <v>589328.749124425</v>
      </c>
      <c r="K3" s="8">
        <v>133939.20036504301</v>
      </c>
      <c r="L3" s="8">
        <v>22.7</v>
      </c>
      <c r="M3" s="8">
        <v>331075.99992764002</v>
      </c>
      <c r="N3" s="8">
        <v>89993.000082724699</v>
      </c>
      <c r="O3" s="8">
        <v>27.2</v>
      </c>
      <c r="P3" s="8">
        <v>36032076508.328796</v>
      </c>
      <c r="Q3" s="8">
        <v>775960.71392254799</v>
      </c>
      <c r="R3" s="8">
        <v>191319.81883025699</v>
      </c>
      <c r="S3" s="8">
        <v>24.7</v>
      </c>
      <c r="T3" s="8">
        <v>-2</v>
      </c>
      <c r="U3" s="8">
        <v>2</v>
      </c>
      <c r="V3" s="8">
        <v>108725160045.90601</v>
      </c>
      <c r="W3" s="8">
        <v>1637501.71014371</v>
      </c>
      <c r="X3" s="8">
        <v>482168.97707711899</v>
      </c>
      <c r="Y3" s="8">
        <v>29.4</v>
      </c>
      <c r="Z3" s="8">
        <v>-6.6999999999999904</v>
      </c>
      <c r="AA3" s="8">
        <v>6.6999999999999904</v>
      </c>
      <c r="AB3" s="8">
        <v>438741.06305085297</v>
      </c>
      <c r="AC3" s="8">
        <v>128132.711943364</v>
      </c>
      <c r="AD3" s="8">
        <v>29.2</v>
      </c>
      <c r="AE3" s="8">
        <v>-2</v>
      </c>
      <c r="AF3" s="8">
        <v>2</v>
      </c>
      <c r="AG3" s="8">
        <v>932639.61114145198</v>
      </c>
      <c r="AH3" s="8">
        <v>327439.23440471297</v>
      </c>
      <c r="AI3" s="8">
        <v>35.1</v>
      </c>
      <c r="AJ3" s="8">
        <v>-7.9</v>
      </c>
      <c r="AK3" s="8">
        <v>7.9</v>
      </c>
      <c r="AL3" s="8">
        <v>22413885017.967899</v>
      </c>
      <c r="AM3" s="8">
        <v>1759462.7618766001</v>
      </c>
      <c r="AN3" s="8">
        <v>0.09</v>
      </c>
      <c r="AO3" s="8">
        <v>0.62</v>
      </c>
      <c r="AP3" s="8">
        <v>0.21</v>
      </c>
      <c r="AQ3" s="8">
        <v>0.56773399014778303</v>
      </c>
    </row>
    <row r="4" spans="1:43" x14ac:dyDescent="0.2">
      <c r="A4" s="8">
        <v>3</v>
      </c>
      <c r="B4" s="8">
        <v>4</v>
      </c>
      <c r="C4" s="8">
        <v>4</v>
      </c>
      <c r="D4" s="8" t="s">
        <v>59</v>
      </c>
      <c r="E4" s="8">
        <v>1</v>
      </c>
      <c r="F4" s="8">
        <v>776292</v>
      </c>
      <c r="G4" s="8">
        <v>0</v>
      </c>
      <c r="H4" s="8">
        <v>3.7122088239300002</v>
      </c>
      <c r="I4" s="8">
        <v>24.1357230642</v>
      </c>
      <c r="J4" s="8">
        <v>594525.47555304004</v>
      </c>
      <c r="K4" s="8">
        <v>123901.20301321401</v>
      </c>
      <c r="L4" s="8">
        <v>20.8</v>
      </c>
      <c r="M4" s="8">
        <v>332508.99901071301</v>
      </c>
      <c r="N4" s="8">
        <v>78192.000038955506</v>
      </c>
      <c r="O4" s="8">
        <v>23.5</v>
      </c>
      <c r="P4" s="8">
        <v>55327250476.334801</v>
      </c>
      <c r="Q4" s="8">
        <v>1027997.99501017</v>
      </c>
      <c r="R4" s="8">
        <v>319525.19820525101</v>
      </c>
      <c r="S4" s="8">
        <v>31.1</v>
      </c>
      <c r="T4" s="8">
        <v>-10.3</v>
      </c>
      <c r="U4" s="8">
        <v>10.3</v>
      </c>
      <c r="V4" s="8">
        <v>95993761900.9879</v>
      </c>
      <c r="W4" s="8">
        <v>1276967.9568801399</v>
      </c>
      <c r="X4" s="8">
        <v>396064.84135655902</v>
      </c>
      <c r="Y4" s="8">
        <v>31</v>
      </c>
      <c r="Z4" s="8">
        <v>-10.199999999999999</v>
      </c>
      <c r="AA4" s="8">
        <v>10.199999999999999</v>
      </c>
      <c r="AB4" s="8">
        <v>541368.68704526406</v>
      </c>
      <c r="AC4" s="8">
        <v>177014.65744099399</v>
      </c>
      <c r="AD4" s="8">
        <v>32.700000000000003</v>
      </c>
      <c r="AE4" s="8">
        <v>-9.1999999999999993</v>
      </c>
      <c r="AF4" s="8">
        <v>9.1999999999999993</v>
      </c>
      <c r="AG4" s="8">
        <v>685930.51165299199</v>
      </c>
      <c r="AH4" s="8">
        <v>219897.536841847</v>
      </c>
      <c r="AI4" s="8">
        <v>32.1</v>
      </c>
      <c r="AJ4" s="8">
        <v>-8.6</v>
      </c>
      <c r="AK4" s="8">
        <v>8.6</v>
      </c>
      <c r="AL4" s="8">
        <v>39007137120.314301</v>
      </c>
      <c r="AM4" s="8">
        <v>2429252.9762128801</v>
      </c>
      <c r="AN4" s="8">
        <v>0.08</v>
      </c>
      <c r="AO4" s="8">
        <v>0.71</v>
      </c>
      <c r="AP4" s="8">
        <v>0.41</v>
      </c>
      <c r="AQ4" s="8">
        <v>0.85714285714285698</v>
      </c>
    </row>
    <row r="5" spans="1:43" x14ac:dyDescent="0.2">
      <c r="A5" s="8">
        <v>4</v>
      </c>
      <c r="B5" s="8">
        <v>5</v>
      </c>
      <c r="C5" s="8">
        <v>5</v>
      </c>
      <c r="D5" s="8" t="s">
        <v>60</v>
      </c>
      <c r="E5" s="8">
        <v>1</v>
      </c>
      <c r="F5" s="8">
        <v>776292</v>
      </c>
      <c r="G5" s="8">
        <v>0</v>
      </c>
      <c r="H5" s="8">
        <v>2.65780071953</v>
      </c>
      <c r="I5" s="8">
        <v>20.480357761499999</v>
      </c>
      <c r="J5" s="8">
        <v>593314.23227842897</v>
      </c>
      <c r="K5" s="8">
        <v>161153.514972648</v>
      </c>
      <c r="L5" s="8">
        <v>27.2</v>
      </c>
      <c r="M5" s="8">
        <v>318941.168573267</v>
      </c>
      <c r="N5" s="8">
        <v>100550.072919117</v>
      </c>
      <c r="O5" s="8">
        <v>31.5</v>
      </c>
      <c r="P5" s="8">
        <v>52249775098.518799</v>
      </c>
      <c r="Q5" s="8">
        <v>971696.71278072498</v>
      </c>
      <c r="R5" s="8">
        <v>321995.73767187499</v>
      </c>
      <c r="S5" s="8">
        <v>33.1</v>
      </c>
      <c r="T5" s="8">
        <v>-5.9</v>
      </c>
      <c r="U5" s="8">
        <v>5.9</v>
      </c>
      <c r="V5" s="8">
        <v>86120144730.270096</v>
      </c>
      <c r="W5" s="8">
        <v>1150732.65967301</v>
      </c>
      <c r="X5" s="8">
        <v>369761.31406695902</v>
      </c>
      <c r="Y5" s="8">
        <v>32.1</v>
      </c>
      <c r="Z5" s="8">
        <v>-4.9000000000000004</v>
      </c>
      <c r="AA5" s="8">
        <v>4.9000000000000004</v>
      </c>
      <c r="AB5" s="8">
        <v>535739.01216246095</v>
      </c>
      <c r="AC5" s="8">
        <v>202893.07085393299</v>
      </c>
      <c r="AD5" s="8">
        <v>37.9</v>
      </c>
      <c r="AE5" s="8">
        <v>-6.3999999999999897</v>
      </c>
      <c r="AF5" s="8">
        <v>6.3999999999999897</v>
      </c>
      <c r="AG5" s="8">
        <v>645457.83305000805</v>
      </c>
      <c r="AH5" s="8">
        <v>237829.29658871499</v>
      </c>
      <c r="AI5" s="8">
        <v>36.799999999999997</v>
      </c>
      <c r="AJ5" s="8">
        <v>-5.2999999999999901</v>
      </c>
      <c r="AK5" s="8">
        <v>5.2999999999999901</v>
      </c>
      <c r="AL5" s="8">
        <v>27950184824.9202</v>
      </c>
      <c r="AM5" s="8">
        <v>2064692.5125108401</v>
      </c>
      <c r="AN5" s="8">
        <v>0.08</v>
      </c>
      <c r="AO5" s="8">
        <v>0.53</v>
      </c>
      <c r="AP5" s="8">
        <v>0.32</v>
      </c>
      <c r="AQ5" s="8">
        <v>0.53940886699507395</v>
      </c>
    </row>
    <row r="6" spans="1:43" x14ac:dyDescent="0.2">
      <c r="A6" s="8">
        <v>5</v>
      </c>
      <c r="B6" s="8">
        <v>6</v>
      </c>
      <c r="C6" s="8">
        <v>6</v>
      </c>
      <c r="D6" s="8" t="s">
        <v>61</v>
      </c>
      <c r="E6" s="8">
        <v>1</v>
      </c>
      <c r="F6" s="8">
        <v>776292</v>
      </c>
      <c r="G6" s="8">
        <v>0</v>
      </c>
      <c r="H6" s="8">
        <v>1.23356028693</v>
      </c>
      <c r="I6" s="8">
        <v>17.409487348199999</v>
      </c>
      <c r="J6" s="8">
        <v>591686.31606048904</v>
      </c>
      <c r="K6" s="8">
        <v>315367.28519554302</v>
      </c>
      <c r="L6" s="8">
        <v>53.3</v>
      </c>
      <c r="M6" s="8">
        <v>309335.832246834</v>
      </c>
      <c r="N6" s="8">
        <v>178068.92698705799</v>
      </c>
      <c r="O6" s="8">
        <v>57.6</v>
      </c>
      <c r="P6" s="8">
        <v>30291541272.6366</v>
      </c>
      <c r="Q6" s="8">
        <v>988243.28760145197</v>
      </c>
      <c r="R6" s="8">
        <v>402265.26407857699</v>
      </c>
      <c r="S6" s="8">
        <v>40.700000000000003</v>
      </c>
      <c r="T6" s="8">
        <v>12.5999999999999</v>
      </c>
      <c r="U6" s="8">
        <v>12.5999999999999</v>
      </c>
      <c r="V6" s="8">
        <v>109489173965.02299</v>
      </c>
      <c r="W6" s="8">
        <v>2029253.7062563701</v>
      </c>
      <c r="X6" s="8">
        <v>659764.41824958695</v>
      </c>
      <c r="Y6" s="8">
        <v>32.5</v>
      </c>
      <c r="Z6" s="8">
        <v>20.799999999999901</v>
      </c>
      <c r="AA6" s="8">
        <v>20.799999999999901</v>
      </c>
      <c r="AB6" s="8">
        <v>526422.50706780702</v>
      </c>
      <c r="AC6" s="8">
        <v>242140.65688008099</v>
      </c>
      <c r="AD6" s="8">
        <v>46</v>
      </c>
      <c r="AE6" s="8">
        <v>11.6</v>
      </c>
      <c r="AF6" s="8">
        <v>11.6</v>
      </c>
      <c r="AG6" s="8">
        <v>1106683.67925251</v>
      </c>
      <c r="AH6" s="8">
        <v>401936.85657576303</v>
      </c>
      <c r="AI6" s="8">
        <v>36.299999999999997</v>
      </c>
      <c r="AJ6" s="8">
        <v>21.3</v>
      </c>
      <c r="AK6" s="8">
        <v>21.3</v>
      </c>
      <c r="AL6" s="8">
        <v>13044556671.424</v>
      </c>
      <c r="AM6" s="8">
        <v>1774205.6881150401</v>
      </c>
      <c r="AN6" s="8">
        <v>0.05</v>
      </c>
      <c r="AO6" s="8">
        <v>0.43</v>
      </c>
      <c r="AP6" s="8">
        <v>0.12</v>
      </c>
      <c r="AQ6" s="8">
        <v>4.7619047619047603E-2</v>
      </c>
    </row>
    <row r="7" spans="1:43" x14ac:dyDescent="0.2">
      <c r="A7" s="8">
        <v>6</v>
      </c>
      <c r="B7" s="8">
        <v>1</v>
      </c>
      <c r="C7" s="8">
        <v>1</v>
      </c>
      <c r="D7" s="8" t="s">
        <v>62</v>
      </c>
      <c r="E7" s="8">
        <v>1</v>
      </c>
      <c r="F7" s="8">
        <v>776292</v>
      </c>
      <c r="G7" s="8">
        <v>0</v>
      </c>
      <c r="H7" s="8">
        <v>2.0521462072499999</v>
      </c>
      <c r="I7" s="8">
        <v>13.040606563600001</v>
      </c>
      <c r="J7" s="8">
        <v>608798.27244617895</v>
      </c>
      <c r="K7" s="8">
        <v>81288.070798274799</v>
      </c>
      <c r="L7" s="8">
        <v>13.4</v>
      </c>
      <c r="M7" s="8">
        <v>369581.99728884501</v>
      </c>
      <c r="N7" s="8">
        <v>112920.00056508899</v>
      </c>
      <c r="O7" s="8">
        <v>30.6</v>
      </c>
      <c r="P7" s="8">
        <v>28720395605.769001</v>
      </c>
      <c r="Q7" s="8">
        <v>1181137.8793606199</v>
      </c>
      <c r="R7" s="8">
        <v>363109.51252564002</v>
      </c>
      <c r="S7" s="8">
        <v>30.7</v>
      </c>
      <c r="T7" s="8">
        <v>-17.299999999999901</v>
      </c>
      <c r="U7" s="8">
        <v>17.299999999999901</v>
      </c>
      <c r="V7" s="8">
        <v>41891694513.332001</v>
      </c>
      <c r="W7" s="8">
        <v>1338608.03945437</v>
      </c>
      <c r="X7" s="8">
        <v>403930.56979665498</v>
      </c>
      <c r="Y7" s="8">
        <v>30.2</v>
      </c>
      <c r="Z7" s="8">
        <v>-16.799999999999901</v>
      </c>
      <c r="AA7" s="8">
        <v>16.799999999999901</v>
      </c>
      <c r="AB7" s="8">
        <v>663301.51042787195</v>
      </c>
      <c r="AC7" s="8">
        <v>302895.176937768</v>
      </c>
      <c r="AD7" s="8">
        <v>45.7</v>
      </c>
      <c r="AE7" s="8">
        <v>-15.1</v>
      </c>
      <c r="AF7" s="8">
        <v>15.1</v>
      </c>
      <c r="AG7" s="8">
        <v>749451.70384657499</v>
      </c>
      <c r="AH7" s="8">
        <v>329096.20043067698</v>
      </c>
      <c r="AI7" s="8">
        <v>43.9</v>
      </c>
      <c r="AJ7" s="8">
        <v>-13.299999999999899</v>
      </c>
      <c r="AK7" s="8">
        <v>13.299999999999899</v>
      </c>
      <c r="AL7" s="8">
        <v>13501733103.277599</v>
      </c>
      <c r="AM7" s="8">
        <v>2200366.7642830298</v>
      </c>
      <c r="AN7" s="8">
        <v>0.04</v>
      </c>
      <c r="AO7" s="8">
        <v>0.47</v>
      </c>
      <c r="AP7" s="8">
        <v>0.32</v>
      </c>
      <c r="AQ7" s="8">
        <v>0.27750410509031198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district_results_la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Holler, Joseph</cp:lastModifiedBy>
  <cp:revision>0</cp:revision>
  <dcterms:modified xsi:type="dcterms:W3CDTF">2026-03-20T06:49:19Z</dcterms:modified>
</cp:coreProperties>
</file>